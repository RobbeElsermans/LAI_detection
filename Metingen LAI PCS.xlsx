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3B19FB6A-5C0B-47F3-9EAD-93AD85E6E7BC}" xr6:coauthVersionLast="47" xr6:coauthVersionMax="47" xr10:uidLastSave="{00000000-0000-0000-0000-000000000000}"/>
  <bookViews>
    <workbookView xWindow="-28920" yWindow="-120" windowWidth="29040" windowHeight="15840" xr2:uid="{24FEAA54-F0FB-4455-AA9F-0FE47A05C3B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5" i="1" s="1"/>
  <c r="C3" i="1"/>
  <c r="C5" i="1" s="1"/>
  <c r="B3" i="1"/>
  <c r="B5" i="1" s="1"/>
  <c r="I9" i="1"/>
  <c r="H9" i="1"/>
  <c r="G9" i="1"/>
  <c r="I3" i="1"/>
  <c r="D4" i="1"/>
  <c r="C4" i="1"/>
  <c r="B4" i="1"/>
</calcChain>
</file>

<file path=xl/sharedStrings.xml><?xml version="1.0" encoding="utf-8"?>
<sst xmlns="http://schemas.openxmlformats.org/spreadsheetml/2006/main" count="12" uniqueCount="9">
  <si>
    <t>Metingen LAI PCS</t>
  </si>
  <si>
    <t>plot 1</t>
  </si>
  <si>
    <t>plot 2</t>
  </si>
  <si>
    <t>plot 3</t>
  </si>
  <si>
    <t>total leaf area (cm²)</t>
  </si>
  <si>
    <t>wall area (cm²)</t>
  </si>
  <si>
    <t>plot3</t>
  </si>
  <si>
    <t>LAI meter</t>
  </si>
  <si>
    <t>leaf area index (LAI)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</si>
</sst>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Fill="1"/>
    <xf numFmtId="0" fontId="1" fillId="0" borderId="0" xfId="0" applyFont="1"/>
    <xf numFmtId="0" fontId="1" fillId="3" borderId="0" xfId="0" applyFont="1" applyFill="1"/>
    <xf numFmtId="0" fontId="1" fillId="2" borderId="0" xfId="0" applyFont="1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6759-B42C-4DFB-9C42-4A1610A25BF9}">
  <dimension ref="A1:I9"/>
  <sheetViews>
    <sheetView tabSelected="1" workbookViewId="0">
      <selection activeCell="F14" sqref="F14"/>
    </sheetView>
  </sheetViews>
  <sheetFormatPr defaultRowHeight="14.4" x14ac:dyDescent="0.3"/>
  <cols>
    <col min="1" max="1" width="18.21875" bestFit="1" customWidth="1"/>
    <col min="6" max="6" width="18.21875" bestFit="1" customWidth="1"/>
  </cols>
  <sheetData>
    <row r="1" spans="1:9" x14ac:dyDescent="0.3">
      <c r="A1" s="5" t="s">
        <v>0</v>
      </c>
      <c r="B1" s="5"/>
      <c r="C1" s="5"/>
      <c r="D1" s="5"/>
      <c r="G1" s="1" t="s">
        <v>7</v>
      </c>
      <c r="H1" s="1"/>
      <c r="I1" s="1"/>
    </row>
    <row r="2" spans="1:9" x14ac:dyDescent="0.3">
      <c r="B2" s="3" t="s">
        <v>1</v>
      </c>
      <c r="C2" s="3" t="s">
        <v>2</v>
      </c>
      <c r="D2" s="3" t="s">
        <v>3</v>
      </c>
      <c r="G2" t="s">
        <v>1</v>
      </c>
      <c r="H2" t="s">
        <v>2</v>
      </c>
      <c r="I2" t="s">
        <v>6</v>
      </c>
    </row>
    <row r="3" spans="1:9" x14ac:dyDescent="0.3">
      <c r="A3" t="s">
        <v>4</v>
      </c>
      <c r="B3">
        <f>G9</f>
        <v>6304.7</v>
      </c>
      <c r="C3">
        <f>H9</f>
        <v>1038.5</v>
      </c>
      <c r="D3">
        <f>I9</f>
        <v>576.25</v>
      </c>
      <c r="G3">
        <v>1018</v>
      </c>
      <c r="H3">
        <v>699</v>
      </c>
      <c r="I3">
        <f>244.6</f>
        <v>244.6</v>
      </c>
    </row>
    <row r="4" spans="1:9" x14ac:dyDescent="0.3">
      <c r="A4" t="s">
        <v>5</v>
      </c>
      <c r="B4">
        <f>50*50</f>
        <v>2500</v>
      </c>
      <c r="C4">
        <f>20*20</f>
        <v>400</v>
      </c>
      <c r="D4">
        <f>20*20</f>
        <v>400</v>
      </c>
      <c r="G4">
        <v>1013.7</v>
      </c>
      <c r="H4">
        <v>339.5</v>
      </c>
      <c r="I4">
        <v>176</v>
      </c>
    </row>
    <row r="5" spans="1:9" x14ac:dyDescent="0.3">
      <c r="A5" s="4" t="s">
        <v>8</v>
      </c>
      <c r="B5" s="4">
        <f>B3/B4</f>
        <v>2.5218799999999999</v>
      </c>
      <c r="C5" s="4">
        <f>C3/C4</f>
        <v>2.5962499999999999</v>
      </c>
      <c r="D5" s="4">
        <f>D3/D4</f>
        <v>1.440625</v>
      </c>
      <c r="G5">
        <v>1067</v>
      </c>
      <c r="H5" s="2"/>
      <c r="I5">
        <v>155.65</v>
      </c>
    </row>
    <row r="6" spans="1:9" x14ac:dyDescent="0.3">
      <c r="G6">
        <v>1040</v>
      </c>
      <c r="I6" s="2"/>
    </row>
    <row r="7" spans="1:9" x14ac:dyDescent="0.3">
      <c r="G7">
        <v>1011</v>
      </c>
    </row>
    <row r="8" spans="1:9" x14ac:dyDescent="0.3">
      <c r="G8">
        <v>1155</v>
      </c>
    </row>
    <row r="9" spans="1:9" x14ac:dyDescent="0.3">
      <c r="F9" t="s">
        <v>4</v>
      </c>
      <c r="G9">
        <f>SUM(G3:G8)</f>
        <v>6304.7</v>
      </c>
      <c r="H9">
        <f>SUM(H3:H4)</f>
        <v>1038.5</v>
      </c>
      <c r="I9">
        <f>SUM(I3:I5)</f>
        <v>576.25</v>
      </c>
    </row>
  </sheetData>
  <mergeCells count="2">
    <mergeCell ref="A1:D1"/>
    <mergeCell ref="G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Anouk De Bock</dc:creator>
  <cp:lastModifiedBy>Anouk De Bock</cp:lastModifiedBy>
  <dcterms:created xsi:type="dcterms:W3CDTF">2023-11-24T14:46:53Z</dcterms:created>
  <dcterms:modified xsi:type="dcterms:W3CDTF">2023-11-24T14:50:07Z</dcterms:modified>
</cp:coreProperties>
</file>